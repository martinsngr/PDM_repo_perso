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martin_sng\PDM_repo_perso\mesh_convergence\"/>
    </mc:Choice>
  </mc:AlternateContent>
  <xr:revisionPtr revIDLastSave="0" documentId="13_ncr:1_{1023828A-35FE-46BB-A0F5-53E8DF8EC1E5}" xr6:coauthVersionLast="47" xr6:coauthVersionMax="47" xr10:uidLastSave="{00000000-0000-0000-0000-000000000000}"/>
  <bookViews>
    <workbookView xWindow="28680" yWindow="-120" windowWidth="29040" windowHeight="15720" activeTab="1" xr2:uid="{7840D785-4B84-4327-BE9E-15759F22E6C8}"/>
  </bookViews>
  <sheets>
    <sheet name="Feuil1" sheetId="1" r:id="rId1"/>
    <sheet name="level0 adjusted P" sheetId="2" r:id="rId2"/>
    <sheet name="level1 adjusted P " sheetId="4" r:id="rId3"/>
    <sheet name="level2 adjusted 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5" l="1"/>
  <c r="D6" i="5"/>
  <c r="C6" i="5"/>
  <c r="B6" i="5"/>
  <c r="B6" i="2"/>
  <c r="C6" i="2"/>
  <c r="D6" i="2"/>
  <c r="E6" i="2"/>
  <c r="F6" i="2"/>
  <c r="G6" i="2"/>
  <c r="F6" i="4"/>
  <c r="E6" i="4"/>
  <c r="D6" i="4"/>
  <c r="C6" i="4"/>
  <c r="B6" i="4"/>
</calcChain>
</file>

<file path=xl/sharedStrings.xml><?xml version="1.0" encoding="utf-8"?>
<sst xmlns="http://schemas.openxmlformats.org/spreadsheetml/2006/main" count="35" uniqueCount="12">
  <si>
    <t>CpD10</t>
  </si>
  <si>
    <t>CpD12</t>
  </si>
  <si>
    <t>CpD14</t>
  </si>
  <si>
    <t>CpD16</t>
  </si>
  <si>
    <t>CpD18</t>
  </si>
  <si>
    <t>CpD20</t>
  </si>
  <si>
    <t>Cell number</t>
  </si>
  <si>
    <t>outlet velocity</t>
  </si>
  <si>
    <t>CpD20_relax</t>
  </si>
  <si>
    <t>CpD5</t>
  </si>
  <si>
    <t xml:space="preserve">converge result </t>
  </si>
  <si>
    <t xml:space="preserve">relative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</si>
</sst>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Feuil1!$H$7</c:f>
              <c:numCache>
                <c:formatCode>General</c:formatCode>
                <c:ptCount val="1"/>
                <c:pt idx="0">
                  <c:v>559767</c:v>
                </c:pt>
              </c:numCache>
            </c:numRef>
          </c:cat>
          <c:val>
            <c:numRef>
              <c:f>Feuil1!$C$3:$H$3</c:f>
              <c:numCache>
                <c:formatCode>General</c:formatCode>
                <c:ptCount val="6"/>
                <c:pt idx="0">
                  <c:v>-2.7259099999999998</c:v>
                </c:pt>
                <c:pt idx="1">
                  <c:v>-2.6891099999999999</c:v>
                </c:pt>
                <c:pt idx="2">
                  <c:v>-2.6982400000000002</c:v>
                </c:pt>
                <c:pt idx="3">
                  <c:v>-2.6982699999999999</c:v>
                </c:pt>
                <c:pt idx="4">
                  <c:v>-2.70512</c:v>
                </c:pt>
                <c:pt idx="5">
                  <c:v>-2.7025000000000001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E-45C3-BEEB-D74F6FACB72C}"/>
            </c:ext>
          </c:extLst>
        </c:ser>
        <c:ser>
          <c:idx val="1"/>
          <c:order val="1"/>
          <c:tx>
            <c:v>relax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Feuil1!$H$7</c:f>
              <c:numCache>
                <c:formatCode>General</c:formatCode>
                <c:ptCount val="1"/>
                <c:pt idx="0">
                  <c:v>559767</c:v>
                </c:pt>
              </c:numCache>
            </c:numRef>
          </c:cat>
          <c:val>
            <c:numRef>
              <c:f>Feuil1!$H$8</c:f>
              <c:numCache>
                <c:formatCode>General</c:formatCode>
                <c:ptCount val="1"/>
                <c:pt idx="0">
                  <c:v>-2.6575000000000002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D-474D-9F07-38A7D867F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584096"/>
        <c:axId val="1620830640"/>
      </c:lineChart>
      <c:catAx>
        <c:axId val="16545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30640"/>
        <c:crosses val="autoZero"/>
        <c:auto val="1"/>
        <c:lblAlgn val="ctr"/>
        <c:lblOffset val="100"/>
        <c:noMultiLvlLbl val="0"/>
      </c:catAx>
      <c:valAx>
        <c:axId val="16208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45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Feuil1!$B$2:$H$2</c:f>
              <c:numCache>
                <c:formatCode>General</c:formatCode>
                <c:ptCount val="7"/>
                <c:pt idx="0">
                  <c:v>8319</c:v>
                </c:pt>
                <c:pt idx="1">
                  <c:v>67644</c:v>
                </c:pt>
                <c:pt idx="2">
                  <c:v>121045</c:v>
                </c:pt>
                <c:pt idx="3">
                  <c:v>191415</c:v>
                </c:pt>
                <c:pt idx="4">
                  <c:v>280670</c:v>
                </c:pt>
                <c:pt idx="5">
                  <c:v>399935</c:v>
                </c:pt>
                <c:pt idx="6">
                  <c:v>559767</c:v>
                </c:pt>
              </c:numCache>
            </c:numRef>
          </c:xVal>
          <c:yVal>
            <c:numRef>
              <c:f>Feuil1!$B$3:$H$3</c:f>
              <c:numCache>
                <c:formatCode>General</c:formatCode>
                <c:ptCount val="7"/>
                <c:pt idx="0">
                  <c:v>-2.69672</c:v>
                </c:pt>
                <c:pt idx="1">
                  <c:v>-2.7259099999999998</c:v>
                </c:pt>
                <c:pt idx="2">
                  <c:v>-2.6891099999999999</c:v>
                </c:pt>
                <c:pt idx="3">
                  <c:v>-2.6982400000000002</c:v>
                </c:pt>
                <c:pt idx="4">
                  <c:v>-2.6982699999999999</c:v>
                </c:pt>
                <c:pt idx="5">
                  <c:v>-2.70512</c:v>
                </c:pt>
                <c:pt idx="6">
                  <c:v>-2.7025000000000001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8-4F7A-B8DC-827BB42AA1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Feuil1!$H$7</c:f>
              <c:numCache>
                <c:formatCode>General</c:formatCode>
                <c:ptCount val="1"/>
                <c:pt idx="0">
                  <c:v>559767</c:v>
                </c:pt>
              </c:numCache>
            </c:numRef>
          </c:xVal>
          <c:yVal>
            <c:numRef>
              <c:f>Feuil1!$H$8</c:f>
              <c:numCache>
                <c:formatCode>General</c:formatCode>
                <c:ptCount val="1"/>
                <c:pt idx="0">
                  <c:v>-2.6575000000000002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8-4F7A-B8DC-827BB42AA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912560"/>
        <c:axId val="1052586128"/>
      </c:scatterChart>
      <c:valAx>
        <c:axId val="10559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2586128"/>
        <c:crosses val="autoZero"/>
        <c:crossBetween val="midCat"/>
      </c:valAx>
      <c:valAx>
        <c:axId val="1052586128"/>
        <c:scaling>
          <c:orientation val="minMax"/>
          <c:max val="-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591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Outel velocity versus number</a:t>
            </a:r>
            <a:r>
              <a:rPr lang="fr-FR" baseline="0"/>
              <a:t> of cell at different refinement level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845345551318281"/>
          <c:y val="0.1735204678362573"/>
          <c:w val="0.70537536466478279"/>
          <c:h val="0.70388285674816964"/>
        </c:manualLayout>
      </c:layout>
      <c:scatterChart>
        <c:scatterStyle val="lineMarker"/>
        <c:varyColors val="0"/>
        <c:ser>
          <c:idx val="0"/>
          <c:order val="0"/>
          <c:tx>
            <c:v>level0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'level0 adjusted P'!$B$2:$G$2</c:f>
              <c:numCache>
                <c:formatCode>General</c:formatCode>
                <c:ptCount val="6"/>
                <c:pt idx="0">
                  <c:v>67644</c:v>
                </c:pt>
                <c:pt idx="1">
                  <c:v>121045</c:v>
                </c:pt>
                <c:pt idx="2">
                  <c:v>191415</c:v>
                </c:pt>
                <c:pt idx="3">
                  <c:v>280670</c:v>
                </c:pt>
                <c:pt idx="4">
                  <c:v>399935</c:v>
                </c:pt>
                <c:pt idx="5">
                  <c:v>559767</c:v>
                </c:pt>
              </c:numCache>
            </c:numRef>
          </c:xVal>
          <c:yVal>
            <c:numRef>
              <c:f>'level0 adjusted P'!$B$3:$G$3</c:f>
              <c:numCache>
                <c:formatCode>General</c:formatCode>
                <c:ptCount val="6"/>
                <c:pt idx="0">
                  <c:v>-1.2620000000000001E-3</c:v>
                </c:pt>
                <c:pt idx="1">
                  <c:v>-1.2099599999999999E-3</c:v>
                </c:pt>
                <c:pt idx="2">
                  <c:v>-1.17293E-3</c:v>
                </c:pt>
                <c:pt idx="3">
                  <c:v>-1.14685E-3</c:v>
                </c:pt>
                <c:pt idx="4">
                  <c:v>-1.1145899999999999E-3</c:v>
                </c:pt>
                <c:pt idx="5">
                  <c:v>-1.09264E-3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BA-4FAE-94E4-13D91A8DAE60}"/>
            </c:ext>
          </c:extLst>
        </c:ser>
        <c:ser>
          <c:idx val="1"/>
          <c:order val="1"/>
          <c:tx>
            <c:v>level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'level1 adjusted P '!$B$2:$F$2</c:f>
              <c:numCache>
                <c:formatCode>General</c:formatCode>
                <c:ptCount val="5"/>
                <c:pt idx="0">
                  <c:v>263913</c:v>
                </c:pt>
                <c:pt idx="1">
                  <c:v>384580</c:v>
                </c:pt>
                <c:pt idx="2">
                  <c:v>535184</c:v>
                </c:pt>
                <c:pt idx="3">
                  <c:v>721367</c:v>
                </c:pt>
                <c:pt idx="4">
                  <c:v>962451</c:v>
                </c:pt>
              </c:numCache>
            </c:numRef>
          </c:xVal>
          <c:yVal>
            <c:numRef>
              <c:f>'level1 adjusted P '!$B$3:$F$3</c:f>
              <c:numCache>
                <c:formatCode>General</c:formatCode>
                <c:ptCount val="5"/>
                <c:pt idx="0">
                  <c:v>-1.0745500000000001E-3</c:v>
                </c:pt>
                <c:pt idx="1">
                  <c:v>-1.0527799999999999E-3</c:v>
                </c:pt>
                <c:pt idx="2">
                  <c:v>-1.03819E-3</c:v>
                </c:pt>
                <c:pt idx="3">
                  <c:v>-1.0279E-3</c:v>
                </c:pt>
                <c:pt idx="4">
                  <c:v>-1.0192999999999999E-3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18-4EE3-AB13-9590009BDED7}"/>
            </c:ext>
          </c:extLst>
        </c:ser>
        <c:ser>
          <c:idx val="2"/>
          <c:order val="2"/>
          <c:tx>
            <c:v>level2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'level2 adjusted P'!$B$2:$E$2</c:f>
              <c:numCache>
                <c:formatCode>General</c:formatCode>
                <c:ptCount val="4"/>
                <c:pt idx="0">
                  <c:v>617162</c:v>
                </c:pt>
                <c:pt idx="1">
                  <c:v>927784</c:v>
                </c:pt>
                <c:pt idx="2">
                  <c:v>1285264</c:v>
                </c:pt>
                <c:pt idx="3">
                  <c:v>1708102</c:v>
                </c:pt>
              </c:numCache>
            </c:numRef>
          </c:xVal>
          <c:yVal>
            <c:numRef>
              <c:f>'level2 adjusted P'!$B$3:$E$3</c:f>
              <c:numCache>
                <c:formatCode>General</c:formatCode>
                <c:ptCount val="4"/>
                <c:pt idx="0">
                  <c:v>-1.0245E-3</c:v>
                </c:pt>
                <c:pt idx="1">
                  <c:v>-1.01348E-3</c:v>
                </c:pt>
                <c:pt idx="2">
                  <c:v>-1.00606E-3</c:v>
                </c:pt>
                <c:pt idx="3">
                  <c:v>-1.00095E-3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B1-43E5-A9D6-019A95D89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912560"/>
        <c:axId val="1052586128"/>
      </c:scatterChart>
      <c:valAx>
        <c:axId val="10559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Number</a:t>
                </a:r>
                <a:r>
                  <a:rPr lang="fr-FR" baseline="0"/>
                  <a:t> of cell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2586128"/>
        <c:crosses val="autoZero"/>
        <c:crossBetween val="midCat"/>
      </c:valAx>
      <c:valAx>
        <c:axId val="1052586128"/>
        <c:scaling>
          <c:orientation val="minMax"/>
          <c:max val="-7.0000000000000021E-4"/>
          <c:min val="-1.3000000000000004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Outel velocity 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591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64540215847019"/>
          <c:y val="0.40313339779895935"/>
          <c:w val="0.12341245772302159"/>
          <c:h val="0.54970981258921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Relative</a:t>
            </a:r>
            <a:r>
              <a:rPr lang="fr-FR" baseline="0"/>
              <a:t> errror</a:t>
            </a:r>
            <a:r>
              <a:rPr lang="fr-FR"/>
              <a:t> versus number</a:t>
            </a:r>
            <a:r>
              <a:rPr lang="fr-FR" baseline="0"/>
              <a:t> of cell at different refinement level</a:t>
            </a:r>
            <a:endParaRPr lang="fr-FR"/>
          </a:p>
        </c:rich>
      </c:tx>
      <c:layout>
        <c:manualLayout>
          <c:xMode val="edge"/>
          <c:yMode val="edge"/>
          <c:x val="9.8245305543703587E-2"/>
          <c:y val="3.7426900584795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845345551318281"/>
          <c:y val="0.1735204678362573"/>
          <c:w val="0.70537536466478279"/>
          <c:h val="0.70388285674816964"/>
        </c:manualLayout>
      </c:layout>
      <c:scatterChart>
        <c:scatterStyle val="lineMarker"/>
        <c:varyColors val="0"/>
        <c:ser>
          <c:idx val="0"/>
          <c:order val="0"/>
          <c:tx>
            <c:v>level0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'level0 adjusted P'!$B$2:$G$2</c:f>
              <c:numCache>
                <c:formatCode>General</c:formatCode>
                <c:ptCount val="6"/>
                <c:pt idx="0">
                  <c:v>67644</c:v>
                </c:pt>
                <c:pt idx="1">
                  <c:v>121045</c:v>
                </c:pt>
                <c:pt idx="2">
                  <c:v>191415</c:v>
                </c:pt>
                <c:pt idx="3">
                  <c:v>280670</c:v>
                </c:pt>
                <c:pt idx="4">
                  <c:v>399935</c:v>
                </c:pt>
                <c:pt idx="5">
                  <c:v>559767</c:v>
                </c:pt>
              </c:numCache>
            </c:numRef>
          </c:xVal>
          <c:yVal>
            <c:numRef>
              <c:f>'level0 adjusted P'!$B$6:$G$6</c:f>
              <c:numCache>
                <c:formatCode>General</c:formatCode>
                <c:ptCount val="6"/>
                <c:pt idx="0">
                  <c:v>26.080223787401973</c:v>
                </c:pt>
                <c:pt idx="1">
                  <c:v>20.881162895249506</c:v>
                </c:pt>
                <c:pt idx="2">
                  <c:v>17.181677406463855</c:v>
                </c:pt>
                <c:pt idx="3">
                  <c:v>14.576152654977772</c:v>
                </c:pt>
                <c:pt idx="4">
                  <c:v>11.353214446276031</c:v>
                </c:pt>
                <c:pt idx="5">
                  <c:v>9.1602977171686852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C-4F67-ACC7-61FEE5A6E449}"/>
            </c:ext>
          </c:extLst>
        </c:ser>
        <c:ser>
          <c:idx val="1"/>
          <c:order val="1"/>
          <c:tx>
            <c:v>level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'level1 adjusted P '!$B$2:$F$2</c:f>
              <c:numCache>
                <c:formatCode>General</c:formatCode>
                <c:ptCount val="5"/>
                <c:pt idx="0">
                  <c:v>263913</c:v>
                </c:pt>
                <c:pt idx="1">
                  <c:v>384580</c:v>
                </c:pt>
                <c:pt idx="2">
                  <c:v>535184</c:v>
                </c:pt>
                <c:pt idx="3">
                  <c:v>721367</c:v>
                </c:pt>
                <c:pt idx="4">
                  <c:v>962451</c:v>
                </c:pt>
              </c:numCache>
            </c:numRef>
          </c:xVal>
          <c:yVal>
            <c:numRef>
              <c:f>'level1 adjusted P '!$B$6:$F$6</c:f>
              <c:numCache>
                <c:formatCode>General</c:formatCode>
                <c:ptCount val="5"/>
                <c:pt idx="0">
                  <c:v>7.3530146360957147</c:v>
                </c:pt>
                <c:pt idx="1">
                  <c:v>5.1780808232179316</c:v>
                </c:pt>
                <c:pt idx="2">
                  <c:v>3.7204655577201673</c:v>
                </c:pt>
                <c:pt idx="3">
                  <c:v>2.6924421799290652</c:v>
                </c:pt>
                <c:pt idx="4">
                  <c:v>1.8332584045156979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9C-4F67-ACC7-61FEE5A6E449}"/>
            </c:ext>
          </c:extLst>
        </c:ser>
        <c:ser>
          <c:idx val="2"/>
          <c:order val="2"/>
          <c:tx>
            <c:v>level2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'level2 adjusted P'!$B$2:$E$2</c:f>
              <c:numCache>
                <c:formatCode>General</c:formatCode>
                <c:ptCount val="4"/>
                <c:pt idx="0">
                  <c:v>617162</c:v>
                </c:pt>
                <c:pt idx="1">
                  <c:v>927784</c:v>
                </c:pt>
                <c:pt idx="2">
                  <c:v>1285264</c:v>
                </c:pt>
                <c:pt idx="3">
                  <c:v>1708102</c:v>
                </c:pt>
              </c:numCache>
            </c:numRef>
          </c:xVal>
          <c:yVal>
            <c:numRef>
              <c:f>'level2 adjusted P'!$B$6:$E$6</c:f>
              <c:numCache>
                <c:formatCode>General</c:formatCode>
                <c:ptCount val="4"/>
                <c:pt idx="0">
                  <c:v>2.3527648733702984</c:v>
                </c:pt>
                <c:pt idx="1">
                  <c:v>1.2518107797592251</c:v>
                </c:pt>
                <c:pt idx="2">
                  <c:v>0.51051501073979821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9C-4F67-ACC7-61FEE5A6E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912560"/>
        <c:axId val="1052586128"/>
      </c:scatterChart>
      <c:valAx>
        <c:axId val="10559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Number</a:t>
                </a:r>
                <a:r>
                  <a:rPr lang="fr-FR" baseline="0"/>
                  <a:t> of cell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2586128"/>
        <c:crosses val="autoZero"/>
        <c:crossBetween val="midCat"/>
      </c:valAx>
      <c:valAx>
        <c:axId val="105258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Relative error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591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64540215847019"/>
          <c:y val="0.40313339779895935"/>
          <c:w val="0.12341245772302159"/>
          <c:h val="0.54970981258921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'level1 adjusted P '!$B$2:$F$2</c:f>
              <c:numCache>
                <c:formatCode>General</c:formatCode>
                <c:ptCount val="5"/>
                <c:pt idx="0">
                  <c:v>263913</c:v>
                </c:pt>
                <c:pt idx="1">
                  <c:v>384580</c:v>
                </c:pt>
                <c:pt idx="2">
                  <c:v>535184</c:v>
                </c:pt>
                <c:pt idx="3">
                  <c:v>721367</c:v>
                </c:pt>
                <c:pt idx="4">
                  <c:v>962451</c:v>
                </c:pt>
              </c:numCache>
            </c:numRef>
          </c:xVal>
          <c:yVal>
            <c:numRef>
              <c:f>'level1 adjusted P '!$B$3:$F$3</c:f>
              <c:numCache>
                <c:formatCode>General</c:formatCode>
                <c:ptCount val="5"/>
                <c:pt idx="0">
                  <c:v>-1.0745500000000001E-3</c:v>
                </c:pt>
                <c:pt idx="1">
                  <c:v>-1.0527799999999999E-3</c:v>
                </c:pt>
                <c:pt idx="2">
                  <c:v>-1.03819E-3</c:v>
                </c:pt>
                <c:pt idx="3">
                  <c:v>-1.0279E-3</c:v>
                </c:pt>
                <c:pt idx="4">
                  <c:v>-1.0192999999999999E-3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C4-44DD-BA49-A7AB4A93C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912560"/>
        <c:axId val="1052586128"/>
      </c:scatterChart>
      <c:valAx>
        <c:axId val="10559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2586128"/>
        <c:crosses val="autoZero"/>
        <c:crossBetween val="midCat"/>
      </c:valAx>
      <c:valAx>
        <c:axId val="1052586128"/>
        <c:scaling>
          <c:orientation val="minMax"/>
          <c:max val="-1.0000000000000002E-3"/>
          <c:min val="-1.3000000000000004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591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280035</xdr:colOff>
      <xdr:row>8</xdr:row>
      <xdr:rowOff>176212</xdr:rowOff>
    </xdr:from>
    <xdr:to>
      <xdr:col>16</xdr:col>
      <xdr:colOff>104775</xdr:colOff>
      <xdr:row>24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0748084-584C-67FD-92D4-2854F5A9D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129540</xdr:colOff>
      <xdr:row>8</xdr:row>
      <xdr:rowOff>72390</xdr:rowOff>
    </xdr:from>
    <xdr:to>
      <xdr:col>7</xdr:col>
      <xdr:colOff>739140</xdr:colOff>
      <xdr:row>23</xdr:row>
      <xdr:rowOff>72390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BA14B39-73BB-9203-7F07-5C8EB1168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430530</xdr:colOff>
      <xdr:row>10</xdr:row>
      <xdr:rowOff>106680</xdr:rowOff>
    </xdr:from>
    <xdr:to>
      <xdr:col>7</xdr:col>
      <xdr:colOff>601980</xdr:colOff>
      <xdr:row>25</xdr:row>
      <xdr:rowOff>106680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A1E71CD-86F8-40E4-A5C2-0BAEE596B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739140</xdr:colOff>
      <xdr:row>6</xdr:row>
      <xdr:rowOff>91440</xdr:rowOff>
    </xdr:from>
    <xdr:to>
      <xdr:col>14</xdr:col>
      <xdr:colOff>748665</xdr:colOff>
      <xdr:row>21</xdr:row>
      <xdr:rowOff>91440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34B2FD7-9D77-4CE8-B2D7-F56C9C1F2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13</xdr:row>
      <xdr:rowOff>9525</xdr:rowOff>
    </xdr:from>
    <xdr:to>
      <xdr:col>10</xdr:col>
      <xdr:colOff>9525</xdr:colOff>
      <xdr:row>28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3BFC78-C63E-4A3C-92BA-073FCE708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6592-C49B-4F8A-BBA6-7306791D9832}">
  <dimension ref="A1:H8"/>
  <sheetViews>
    <sheetView workbookViewId="0">
      <selection sqref="A1:H3"/>
    </sheetView>
  </sheetViews>
  <sheetFormatPr baseColWidth="10" defaultRowHeight="14.4" x14ac:dyDescent="0.3"/>
  <cols>
    <col min="1" max="2" width="13.21875" customWidth="1"/>
  </cols>
  <sheetData>
    <row r="1" spans="1:8" x14ac:dyDescent="0.3"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>
        <v>8319</v>
      </c>
      <c r="C2">
        <v>67644</v>
      </c>
      <c r="D2">
        <v>121045</v>
      </c>
      <c r="E2">
        <v>191415</v>
      </c>
      <c r="F2">
        <v>280670</v>
      </c>
      <c r="G2">
        <v>399935</v>
      </c>
      <c r="H2">
        <v>559767</v>
      </c>
    </row>
    <row r="3" spans="1:8" x14ac:dyDescent="0.3">
      <c r="A3" t="s">
        <v>7</v>
      </c>
      <c r="B3">
        <v>-2.69672</v>
      </c>
      <c r="C3">
        <v>-2.7259099999999998</v>
      </c>
      <c r="D3">
        <v>-2.6891099999999999</v>
      </c>
      <c r="E3">
        <v>-2.6982400000000002</v>
      </c>
      <c r="F3">
        <v>-2.6982699999999999</v>
      </c>
      <c r="G3">
        <v>-2.70512</v>
      </c>
      <c r="H3">
        <v>-2.7025000000000001</v>
      </c>
    </row>
    <row r="6" spans="1:8" x14ac:dyDescent="0.3">
      <c r="H6" t="s">
        <v>8</v>
      </c>
    </row>
    <row r="7" spans="1:8" x14ac:dyDescent="0.3">
      <c r="H7">
        <v>559767</v>
      </c>
    </row>
    <row r="8" spans="1:8" x14ac:dyDescent="0.3">
      <c r="H8">
        <v>-2.6575000000000002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0550-E3C7-460E-BF19-E6950C312566}">
  <dimension ref="A1:G6"/>
  <sheetViews>
    <sheetView tabSelected="1" workbookViewId="0">
      <selection activeCell="N30" sqref="N30"/>
    </sheetView>
  </sheetViews>
  <sheetFormatPr baseColWidth="10" defaultRowHeight="14.4" x14ac:dyDescent="0.3"/>
  <cols>
    <col min="1" max="1" width="12.777343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67644</v>
      </c>
      <c r="C2">
        <v>121045</v>
      </c>
      <c r="D2">
        <v>191415</v>
      </c>
      <c r="E2">
        <v>280670</v>
      </c>
      <c r="F2">
        <v>399935</v>
      </c>
      <c r="G2">
        <v>559767</v>
      </c>
    </row>
    <row r="3" spans="1:7" x14ac:dyDescent="0.3">
      <c r="A3" t="s">
        <v>7</v>
      </c>
      <c r="B3">
        <v>-1.2620000000000001E-3</v>
      </c>
      <c r="C3">
        <v>-1.2099599999999999E-3</v>
      </c>
      <c r="D3">
        <v>-1.17293E-3</v>
      </c>
      <c r="E3">
        <v>-1.14685E-3</v>
      </c>
      <c r="F3">
        <v>-1.1145899999999999E-3</v>
      </c>
      <c r="G3">
        <v>-1.09264E-3</v>
      </c>
    </row>
    <row r="6" spans="1:7" x14ac:dyDescent="0.3">
      <c r="A6" t="s">
        <v>11</v>
      </c>
      <c r="B6">
        <f>ABS((B3-'level2 adjusted P'!$F$13)/'level2 adjusted P'!$F$13)*100</f>
        <v>26.080223787401973</v>
      </c>
      <c r="C6">
        <f>ABS((C3-'level2 adjusted P'!$F$13)/'level2 adjusted P'!$F$13)*100</f>
        <v>20.881162895249506</v>
      </c>
      <c r="D6">
        <f>ABS((D3-'level2 adjusted P'!$F$13)/'level2 adjusted P'!$F$13)*100</f>
        <v>17.181677406463855</v>
      </c>
      <c r="E6">
        <f>ABS((E3-'level2 adjusted P'!$F$13)/'level2 adjusted P'!$F$13)*100</f>
        <v>14.576152654977772</v>
      </c>
      <c r="F6">
        <f>ABS((F3-'level2 adjusted P'!$F$13)/'level2 adjusted P'!$F$13)*100</f>
        <v>11.353214446276031</v>
      </c>
      <c r="G6">
        <f>ABS((G3-'level2 adjusted P'!$F$13)/'level2 adjusted P'!$F$13)*100</f>
        <v>9.1602977171686852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2A27-45E5-47AF-98CB-61646CF22341}">
  <dimension ref="A1:F6"/>
  <sheetViews>
    <sheetView workbookViewId="0">
      <selection activeCell="F6" sqref="F6"/>
    </sheetView>
  </sheetViews>
  <sheetFormatPr baseColWidth="10" defaultRowHeight="14.4" x14ac:dyDescent="0.3"/>
  <sheetData>
    <row r="1" spans="1:6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263913</v>
      </c>
      <c r="C2">
        <v>384580</v>
      </c>
      <c r="D2">
        <v>535184</v>
      </c>
      <c r="E2">
        <v>721367</v>
      </c>
      <c r="F2">
        <v>962451</v>
      </c>
    </row>
    <row r="3" spans="1:6" x14ac:dyDescent="0.3">
      <c r="A3" t="s">
        <v>7</v>
      </c>
      <c r="B3">
        <v>-1.0745500000000001E-3</v>
      </c>
      <c r="C3">
        <v>-1.0527799999999999E-3</v>
      </c>
      <c r="D3">
        <v>-1.03819E-3</v>
      </c>
      <c r="E3">
        <v>-1.0279E-3</v>
      </c>
      <c r="F3">
        <v>-1.0192999999999999E-3</v>
      </c>
    </row>
    <row r="6" spans="1:6" x14ac:dyDescent="0.3">
      <c r="A6" t="s">
        <v>11</v>
      </c>
      <c r="B6">
        <f>ABS((B3-'level2 adjusted P'!$F$13)/'level2 adjusted P'!$F$13)*100</f>
        <v>7.3530146360957147</v>
      </c>
      <c r="C6">
        <f>ABS((C3-'level2 adjusted P'!$F$13)/'level2 adjusted P'!$F$13)*100</f>
        <v>5.1780808232179316</v>
      </c>
      <c r="D6">
        <f>ABS((D3-'level2 adjusted P'!$F$13)/'level2 adjusted P'!$F$13)*100</f>
        <v>3.7204655577201673</v>
      </c>
      <c r="E6">
        <f>ABS((E3-'level2 adjusted P'!$F$13)/'level2 adjusted P'!$F$13)*100</f>
        <v>2.6924421799290652</v>
      </c>
      <c r="F6">
        <f>ABS((F3-'level2 adjusted P'!$F$13)/'level2 adjusted P'!$F$13)*100</f>
        <v>1.8332584045156979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281B-25B4-4CA5-B36B-42ACA34AA90A}">
  <dimension ref="A1:F13"/>
  <sheetViews>
    <sheetView workbookViewId="0">
      <selection activeCell="E6" sqref="E6"/>
    </sheetView>
  </sheetViews>
  <sheetFormatPr baseColWidth="10"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</row>
    <row r="2" spans="1:6" x14ac:dyDescent="0.3">
      <c r="A2" t="s">
        <v>6</v>
      </c>
      <c r="B2">
        <v>617162</v>
      </c>
      <c r="C2">
        <v>927784</v>
      </c>
      <c r="D2">
        <v>1285264</v>
      </c>
      <c r="E2">
        <v>1708102</v>
      </c>
    </row>
    <row r="3" spans="1:6" x14ac:dyDescent="0.3">
      <c r="A3" t="s">
        <v>7</v>
      </c>
      <c r="B3">
        <v>-1.0245E-3</v>
      </c>
      <c r="C3">
        <v>-1.01348E-3</v>
      </c>
      <c r="D3">
        <v>-1.00606E-3</v>
      </c>
      <c r="E3">
        <v>-1.00095E-3</v>
      </c>
    </row>
    <row r="6" spans="1:6" x14ac:dyDescent="0.3">
      <c r="A6" t="s">
        <v>11</v>
      </c>
      <c r="B6">
        <f>ABS((B3-'level2 adjusted P'!$F$13)/'level2 adjusted P'!$F$13)*100</f>
        <v>2.3527648733702984</v>
      </c>
      <c r="C6">
        <f>ABS((C3-'level2 adjusted P'!$F$13)/'level2 adjusted P'!$F$13)*100</f>
        <v>1.2518107797592251</v>
      </c>
      <c r="D6">
        <f>ABS((D3-'level2 adjusted P'!$F$13)/'level2 adjusted P'!$F$13)*100</f>
        <v>0.51051501073979821</v>
      </c>
      <c r="E6">
        <f>ABS((E3-'level2 adjusted P'!$F$13)/'level2 adjusted P'!$F$13)*100</f>
        <v>0</v>
      </c>
    </row>
    <row r="12" spans="1:6" x14ac:dyDescent="0.3">
      <c r="F12" t="s">
        <v>10</v>
      </c>
    </row>
    <row r="13" spans="1:6" x14ac:dyDescent="0.3">
      <c r="F13">
        <v>-1.00095E-3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level0 adjusted P</vt:lpstr>
      <vt:lpstr>level1 adjusted P </vt:lpstr>
      <vt:lpstr>level2 adjusted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Jean Joseph Sinègre</dc:creator>
  <cp:lastModifiedBy>Martin Jean Joseph Sinègre</cp:lastModifiedBy>
  <dcterms:created xsi:type="dcterms:W3CDTF">2026-09-15T13:35:47Z</dcterms:created>
  <dcterms:modified xsi:type="dcterms:W3CDTF">2026-09-21T14:25:00Z</dcterms:modified>
</cp:coreProperties>
</file>